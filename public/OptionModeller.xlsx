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Grant" sheetId="1" state="visible" r:id="rId3"/>
    <sheet name="Scenario Modell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<sst xmlns="http://schemas.openxmlformats.org/spreadsheetml/2006/main" count="70" uniqueCount="69">
  <si>
    <t xml:space="preserve">My Option Grant — Modelling Tool</t>
  </si>
  <si>
    <t xml:space="preserve">Enter your grant details below (blue cells). Formulas will calculate automatically.</t>
  </si>
  <si>
    <t xml:space="preserve">Section 1 — Your Grant Details</t>
  </si>
  <si>
    <t xml:space="preserve">Number of Options Granted</t>
  </si>
  <si>
    <t xml:space="preserve">Enter the total number of options in your grant agreement</t>
  </si>
  <si>
    <t xml:space="preserve">Strike Price (per share, CAD $)</t>
  </si>
  <si>
    <t xml:space="preserve">Your exercise price — set out in your grant agreement</t>
  </si>
  <si>
    <t xml:space="preserve">Fully Diluted Shares Outstanding</t>
  </si>
  <si>
    <t xml:space="preserve">Total shares + options + warrants. Ask your company for this number.</t>
  </si>
  <si>
    <t xml:space="preserve">Vesting Period (years)</t>
  </si>
  <si>
    <t xml:space="preserve">Typical: 4 or 5 years</t>
  </si>
  <si>
    <t xml:space="preserve">Cliff (years)</t>
  </si>
  <si>
    <t xml:space="preserve">Minimum time before any options vest. Typical: 1 year</t>
  </si>
  <si>
    <t xml:space="preserve">Years Since Grant Date</t>
  </si>
  <si>
    <t xml:space="preserve">How long have you been vesting? Use decimals (e.g. 1.5 = 18 months)</t>
  </si>
  <si>
    <t xml:space="preserve">Section 2 — Your Grant at a Glance</t>
  </si>
  <si>
    <t xml:space="preserve">% of Company You Own (fully diluted)</t>
  </si>
  <si>
    <t xml:space="preserve">Your options ÷ fully diluted shares. This is the number that really matters.</t>
  </si>
  <si>
    <t xml:space="preserve">Options Vested To Date</t>
  </si>
  <si>
    <t xml:space="preserve">0 before cliff; pro-rated monthly after cliff; full grant at end of vesting period</t>
  </si>
  <si>
    <t xml:space="preserve">Options Still Unvested</t>
  </si>
  <si>
    <t xml:space="preserve">Options you'd forfeit if you left today</t>
  </si>
  <si>
    <t xml:space="preserve">% Vested</t>
  </si>
  <si>
    <t xml:space="preserve">Section 3 — Quick Value Snapshot</t>
  </si>
  <si>
    <t xml:space="preserve">Hypothetical Current Share Price (CAD $)</t>
  </si>
  <si>
    <t xml:space="preserve">Enter a share price — try your last round price, or a hypothetical exit price</t>
  </si>
  <si>
    <t xml:space="preserve">Value of Vested Options (pre-tax)</t>
  </si>
  <si>
    <t xml:space="preserve">(Share price minus Strike price) x Vested options. Zero if underwater.</t>
  </si>
  <si>
    <t xml:space="preserve">Value of Full Grant if Fully Vested (pre-tax)</t>
  </si>
  <si>
    <t xml:space="preserve">What your full grant would be worth if you were 100% vested at this price</t>
  </si>
  <si>
    <t xml:space="preserve">Implied Company Valuation at This Price</t>
  </si>
  <si>
    <t xml:space="preserve">Share price × fully diluted shares = implied total company value</t>
  </si>
  <si>
    <t xml:space="preserve">⚠  These figures are pre-tax estimates only. Actual proceeds depend on deal structure, tax treatment, and your specific grant terms. Consult a tax advisor before making any exercise decisions.</t>
  </si>
  <si>
    <t xml:space="preserve">Scenario Modeller — What Could My Options Be Worth?</t>
  </si>
  <si>
    <t xml:space="preserve">This sheet pulls your grant details from 'My Grant'. Adjust the exit valuations below (blue) to explore different outcomes.</t>
  </si>
  <si>
    <t xml:space="preserve">Your Grant (from My Grant sheet)</t>
  </si>
  <si>
    <t xml:space="preserve">Options Granted</t>
  </si>
  <si>
    <t xml:space="preserve">Strike Price (CAD $)</t>
  </si>
  <si>
    <t xml:space="preserve">Fully Diluted Shares</t>
  </si>
  <si>
    <t xml:space="preserve">% Ownership</t>
  </si>
  <si>
    <t xml:space="preserve">Vested Options</t>
  </si>
  <si>
    <t xml:space="preserve">Exit Scenario Modeller</t>
  </si>
  <si>
    <t xml:space="preserve">Scenario</t>
  </si>
  <si>
    <t xml:space="preserve">Company Valuation
(CAD $)</t>
  </si>
  <si>
    <t xml:space="preserve">Implied
Share Price</t>
  </si>
  <si>
    <t xml:space="preserve">Gain
per Option</t>
  </si>
  <si>
    <t xml:space="preserve">Value of
Vested Options</t>
  </si>
  <si>
    <t xml:space="preserve">Value of
Full Grant</t>
  </si>
  <si>
    <t xml:space="preserve">Multiple on
Strike Price</t>
  </si>
  <si>
    <t xml:space="preserve">Base — Last Round</t>
  </si>
  <si>
    <t xml:space="preserve">2x Last Round</t>
  </si>
  <si>
    <t xml:space="preserve">Conservative Exit</t>
  </si>
  <si>
    <t xml:space="preserve">Moderate Exit</t>
  </si>
  <si>
    <t xml:space="preserve">Strong Exit</t>
  </si>
  <si>
    <t xml:space="preserve">Exceptional Exit</t>
  </si>
  <si>
    <t xml:space="preserve">Custom — Enter Below</t>
  </si>
  <si>
    <t xml:space="preserve">Vesting Timeline</t>
  </si>
  <si>
    <t xml:space="preserve">Year</t>
  </si>
  <si>
    <t xml:space="preserve">Cumulative
Vested Options</t>
  </si>
  <si>
    <t xml:space="preserve">Value at
Conservative Exit ($50M)</t>
  </si>
  <si>
    <t xml:space="preserve">Value at
Strong Exit ($500M)</t>
  </si>
  <si>
    <t xml:space="preserve">Year 0</t>
  </si>
  <si>
    <t xml:space="preserve">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</si>
  <si>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</si>
  <si>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</si>
  <si>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</si>
  <si>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</si>
  <si>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</si>
  <si>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⚠  Pre-tax estimates only. Does not account for dilution from future financing rounds, liquidation preferences, or exercise costs. Consult a tax and legal advisor for advice specific to your situation.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</si>
</sst>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.00"/>
    <numFmt numFmtId="167" formatCode="0"/>
    <numFmt numFmtId="168" formatCode="0.0"/>
    <numFmt numFmtId="169" formatCode="0.000%"/>
    <numFmt numFmtId="170" formatCode="0.0%"/>
    <numFmt numFmtId="171" formatCode="\$#,##0"/>
    <numFmt numFmtId="172" formatCode="\$#,##0,,\M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2D374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D374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6CB0"/>
        <bgColor rgb="FF2C7A7B"/>
      </patternFill>
    </fill>
    <fill>
      <patternFill patternType="solid">
        <fgColor rgb="FFEBF4FF"/>
        <bgColor rgb="FFFFFFFF"/>
      </patternFill>
    </fill>
    <fill>
      <patternFill patternType="solid">
        <fgColor rgb="FFFFFACD"/>
        <bgColor rgb="FFFFFFFF"/>
      </patternFill>
    </fill>
    <fill>
      <patternFill patternType="solid">
        <fgColor rgb="FFFFFFFF"/>
        <bgColor rgb="FFEBF4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A7B"/>
      <rgbColor rgb="FFC0C0C0"/>
      <rgbColor rgb="FF718096"/>
      <rgbColor rgb="FF9999FF"/>
      <rgbColor rgb="FF993366"/>
      <rgbColor rgb="FFFFFACD"/>
      <rgbColor rgb="FFEBF4FF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6CB0"/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2"/>
  </cols>
  <sheetData>
    <row r="1" customFormat="false" ht="13.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</row>
    <row r="3" customFormat="false" ht="13.5" hidden="false" customHeight="tru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  <c r="F5" s="3"/>
    </row>
    <row r="6" customFormat="false" ht="15" hidden="false" customHeight="true" outlineLevel="0" collapsed="false">
      <c r="A6" s="4" t="s">
        <v>3</v>
      </c>
      <c r="B6" s="5" t="n">
        <v>1000</v>
      </c>
      <c r="C6" s="6" t="s">
        <v>4</v>
      </c>
      <c r="D6" s="6"/>
      <c r="E6" s="6"/>
      <c r="F6" s="6"/>
    </row>
    <row r="7" customFormat="false" ht="15" hidden="false" customHeight="true" outlineLevel="0" collapsed="false">
      <c r="A7" s="4" t="s">
        <v>5</v>
      </c>
      <c r="B7" s="7" t="n">
        <v>10</v>
      </c>
      <c r="C7" s="6" t="s">
        <v>6</v>
      </c>
      <c r="D7" s="6"/>
      <c r="E7" s="6"/>
      <c r="F7" s="6"/>
    </row>
    <row r="8" customFormat="false" ht="15" hidden="false" customHeight="true" outlineLevel="0" collapsed="false">
      <c r="A8" s="4" t="s">
        <v>7</v>
      </c>
      <c r="B8" s="5" t="n">
        <v>10000000</v>
      </c>
      <c r="C8" s="6" t="s">
        <v>8</v>
      </c>
      <c r="D8" s="6"/>
      <c r="E8" s="6"/>
      <c r="F8" s="6"/>
    </row>
    <row r="9" customFormat="false" ht="15" hidden="false" customHeight="true" outlineLevel="0" collapsed="false">
      <c r="A9" s="4" t="s">
        <v>9</v>
      </c>
      <c r="B9" s="8" t="n">
        <v>4</v>
      </c>
      <c r="C9" s="6" t="s">
        <v>10</v>
      </c>
      <c r="D9" s="6"/>
      <c r="E9" s="6"/>
      <c r="F9" s="6"/>
    </row>
    <row r="10" customFormat="false" ht="15" hidden="false" customHeight="true" outlineLevel="0" collapsed="false">
      <c r="A10" s="4" t="s">
        <v>11</v>
      </c>
      <c r="B10" s="9" t="n">
        <v>1</v>
      </c>
      <c r="C10" s="6" t="s">
        <v>12</v>
      </c>
      <c r="D10" s="6"/>
      <c r="E10" s="6"/>
      <c r="F10" s="6"/>
    </row>
    <row r="11" customFormat="false" ht="15" hidden="false" customHeight="true" outlineLevel="0" collapsed="false">
      <c r="A11" s="4" t="s">
        <v>13</v>
      </c>
      <c r="B11" s="9" t="n">
        <v>2</v>
      </c>
      <c r="C11" s="6" t="s">
        <v>14</v>
      </c>
      <c r="D11" s="6"/>
      <c r="E11" s="6"/>
      <c r="F11" s="6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  <row r="13" customFormat="false" ht="15" hidden="false" customHeight="false" outlineLevel="0" collapsed="false">
      <c r="A13" s="3" t="s">
        <v>15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4" t="s">
        <v>16</v>
      </c>
      <c r="B14" s="11" t="n">
        <f aca="false">B6/B8</f>
        <v>0.0001</v>
      </c>
      <c r="C14" s="6" t="s">
        <v>17</v>
      </c>
      <c r="D14" s="6"/>
      <c r="E14" s="6"/>
      <c r="F14" s="6"/>
    </row>
    <row r="15" customFormat="false" ht="15" hidden="false" customHeight="true" outlineLevel="0" collapsed="false">
      <c r="A15" s="4" t="s">
        <v>18</v>
      </c>
      <c r="B15" s="12" t="n">
        <f aca="false">IF(B11&lt;B10, 0, IF(B11&gt;=B9, B6, FLOOR((B11/B9)*B6, 1)))</f>
        <v>500</v>
      </c>
      <c r="C15" s="6" t="s">
        <v>19</v>
      </c>
      <c r="D15" s="6"/>
      <c r="E15" s="6"/>
      <c r="F15" s="6"/>
    </row>
    <row r="16" customFormat="false" ht="15" hidden="false" customHeight="true" outlineLevel="0" collapsed="false">
      <c r="A16" s="4" t="s">
        <v>20</v>
      </c>
      <c r="B16" s="13" t="n">
        <f aca="false">B6-B15</f>
        <v>500</v>
      </c>
      <c r="C16" s="6" t="s">
        <v>21</v>
      </c>
      <c r="D16" s="6"/>
      <c r="E16" s="6"/>
      <c r="F16" s="6"/>
    </row>
    <row r="17" customFormat="false" ht="15" hidden="false" customHeight="false" outlineLevel="0" collapsed="false">
      <c r="A17" s="4" t="s">
        <v>22</v>
      </c>
      <c r="B17" s="14" t="n">
        <f aca="false">IF(B6=0,0,B15/B6)</f>
        <v>0.5</v>
      </c>
      <c r="C17" s="6"/>
      <c r="D17" s="6"/>
      <c r="E17" s="6"/>
      <c r="F17" s="6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3" t="s">
        <v>23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4" t="s">
        <v>24</v>
      </c>
      <c r="B20" s="7" t="n">
        <v>10</v>
      </c>
      <c r="C20" s="6" t="s">
        <v>25</v>
      </c>
      <c r="D20" s="6"/>
      <c r="E20" s="6"/>
      <c r="F20" s="6"/>
    </row>
    <row r="21" customFormat="false" ht="15" hidden="false" customHeight="true" outlineLevel="0" collapsed="false">
      <c r="A21" s="4" t="s">
        <v>26</v>
      </c>
      <c r="B21" s="15" t="n">
        <f aca="false">MAX(0,(B20-B7)*B15)</f>
        <v>0</v>
      </c>
      <c r="C21" s="6" t="s">
        <v>27</v>
      </c>
      <c r="D21" s="6"/>
      <c r="E21" s="6"/>
      <c r="F21" s="6"/>
    </row>
    <row r="22" customFormat="false" ht="15" hidden="false" customHeight="true" outlineLevel="0" collapsed="false">
      <c r="A22" s="4" t="s">
        <v>28</v>
      </c>
      <c r="B22" s="16" t="n">
        <f aca="false">MAX(0,(B20-B7)*B6)</f>
        <v>0</v>
      </c>
      <c r="C22" s="6" t="s">
        <v>29</v>
      </c>
      <c r="D22" s="6"/>
      <c r="E22" s="6"/>
      <c r="F22" s="6"/>
    </row>
    <row r="23" customFormat="false" ht="15" hidden="false" customHeight="true" outlineLevel="0" collapsed="false">
      <c r="A23" s="4" t="s">
        <v>30</v>
      </c>
      <c r="B23" s="16" t="n">
        <f aca="false">B20*B8</f>
        <v>100000000</v>
      </c>
      <c r="C23" s="6" t="s">
        <v>31</v>
      </c>
      <c r="D23" s="6"/>
      <c r="E23" s="6"/>
      <c r="F23" s="6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</row>
    <row r="25" customFormat="false" ht="27.75" hidden="false" customHeight="true" outlineLevel="0" collapsed="false">
      <c r="A25" s="17" t="s">
        <v>32</v>
      </c>
      <c r="B25" s="17"/>
      <c r="C25" s="17"/>
      <c r="D25" s="17"/>
      <c r="E25" s="17"/>
      <c r="F25" s="17"/>
    </row>
  </sheetData>
  <mergeCells count="20">
    <mergeCell ref="A2:F2"/>
    <mergeCell ref="A3:F3"/>
    <mergeCell ref="A5:F5"/>
    <mergeCell ref="C6:F6"/>
    <mergeCell ref="C7:F7"/>
    <mergeCell ref="C8:F8"/>
    <mergeCell ref="C9:F9"/>
    <mergeCell ref="C10:F10"/>
    <mergeCell ref="C11:F11"/>
    <mergeCell ref="A13:F13"/>
    <mergeCell ref="C14:F14"/>
    <mergeCell ref="C15:F15"/>
    <mergeCell ref="C16:F16"/>
    <mergeCell ref="C17:F17"/>
    <mergeCell ref="A19:F19"/>
    <mergeCell ref="C20:F20"/>
    <mergeCell ref="C21:F21"/>
    <mergeCell ref="C22:F22"/>
    <mergeCell ref="C23:F23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7A7B"/>
    <pageSetUpPr fitToPage="false"/>
  </sheetPr>
  <dimension ref="A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20"/>
  </cols>
  <sheetData>
    <row r="2" customFormat="false" ht="36" hidden="false" customHeight="true" outlineLevel="0" collapsed="false">
      <c r="A2" s="1" t="s">
        <v>33</v>
      </c>
      <c r="B2" s="1"/>
      <c r="C2" s="1"/>
      <c r="D2" s="1"/>
      <c r="E2" s="1"/>
      <c r="F2" s="1"/>
      <c r="G2" s="1"/>
    </row>
    <row r="3" customFormat="false" ht="13.5" hidden="false" customHeight="true" outlineLevel="0" collapsed="false">
      <c r="A3" s="2" t="s">
        <v>34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3" t="s">
        <v>35</v>
      </c>
      <c r="B5" s="3"/>
      <c r="C5" s="3"/>
      <c r="D5" s="3"/>
    </row>
    <row r="6" customFormat="false" ht="15" hidden="false" customHeight="false" outlineLevel="0" collapsed="false">
      <c r="A6" s="4" t="s">
        <v>36</v>
      </c>
      <c r="B6" s="12" t="n">
        <f aca="false">'My Grant'!B6</f>
        <v>1000</v>
      </c>
      <c r="C6" s="10"/>
      <c r="D6" s="10"/>
    </row>
    <row r="7" customFormat="false" ht="15" hidden="false" customHeight="false" outlineLevel="0" collapsed="false">
      <c r="A7" s="4" t="s">
        <v>37</v>
      </c>
      <c r="B7" s="18" t="n">
        <f aca="false">'My Grant'!B7</f>
        <v>10</v>
      </c>
      <c r="C7" s="10"/>
      <c r="D7" s="10"/>
    </row>
    <row r="8" customFormat="false" ht="15" hidden="false" customHeight="false" outlineLevel="0" collapsed="false">
      <c r="A8" s="4" t="s">
        <v>38</v>
      </c>
      <c r="B8" s="12" t="n">
        <f aca="false">'My Grant'!B8</f>
        <v>10000000</v>
      </c>
      <c r="C8" s="10"/>
      <c r="D8" s="10"/>
    </row>
    <row r="9" customFormat="false" ht="15" hidden="false" customHeight="false" outlineLevel="0" collapsed="false">
      <c r="A9" s="4" t="s">
        <v>39</v>
      </c>
      <c r="B9" s="11" t="n">
        <f aca="false">'My Grant'!B14</f>
        <v>0.0001</v>
      </c>
      <c r="C9" s="10"/>
      <c r="D9" s="10"/>
    </row>
    <row r="10" customFormat="false" ht="15" hidden="false" customHeight="false" outlineLevel="0" collapsed="false">
      <c r="A10" s="4" t="s">
        <v>40</v>
      </c>
      <c r="B10" s="12" t="n">
        <f aca="false">'My Grant'!B15</f>
        <v>500</v>
      </c>
      <c r="C10" s="10"/>
      <c r="D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3" t="s">
        <v>41</v>
      </c>
      <c r="B12" s="3"/>
      <c r="C12" s="3"/>
      <c r="D12" s="3"/>
      <c r="E12" s="3"/>
      <c r="F12" s="3"/>
      <c r="G12" s="3"/>
    </row>
    <row r="13" customFormat="false" ht="30" hidden="false" customHeight="true" outlineLevel="0" collapsed="false">
      <c r="A13" s="19" t="s">
        <v>42</v>
      </c>
      <c r="B13" s="20" t="s">
        <v>43</v>
      </c>
      <c r="C13" s="20" t="s">
        <v>44</v>
      </c>
      <c r="D13" s="20" t="s">
        <v>45</v>
      </c>
      <c r="E13" s="20" t="s">
        <v>46</v>
      </c>
      <c r="F13" s="20" t="s">
        <v>47</v>
      </c>
      <c r="G13" s="20" t="s">
        <v>48</v>
      </c>
    </row>
    <row r="14" customFormat="false" ht="15" hidden="false" customHeight="false" outlineLevel="0" collapsed="false">
      <c r="A14" s="4" t="s">
        <v>49</v>
      </c>
      <c r="B14" s="21" t="n">
        <f aca="false">'My Grant'!B8*'My Grant'!B7</f>
        <v>100000000</v>
      </c>
      <c r="C14" s="22" t="n">
        <f aca="false">B14/'My Grant'!B8</f>
        <v>10</v>
      </c>
      <c r="D14" s="22" t="n">
        <f aca="false">MAX(0,C14-'My Grant'!B7)</f>
        <v>0</v>
      </c>
      <c r="E14" s="23" t="n">
        <f aca="false">MAX(0,D14*'My Grant'!B15)</f>
        <v>0</v>
      </c>
      <c r="F14" s="24" t="n">
        <f aca="false">MAX(0,D14*'My Grant'!B6)</f>
        <v>0</v>
      </c>
      <c r="G14" s="25" t="n">
        <f aca="false">IF('My Grant'!B7=0,"-",C14/'My Grant'!B7)</f>
        <v>1</v>
      </c>
    </row>
    <row r="15" customFormat="false" ht="15" hidden="false" customHeight="false" outlineLevel="0" collapsed="false">
      <c r="A15" s="26" t="s">
        <v>50</v>
      </c>
      <c r="B15" s="27" t="n">
        <f aca="false">'My Grant'!B8*'My Grant'!B7*2</f>
        <v>200000000</v>
      </c>
      <c r="C15" s="28" t="n">
        <f aca="false">B15/'My Grant'!B8</f>
        <v>20</v>
      </c>
      <c r="D15" s="28" t="n">
        <f aca="false">MAX(0,C15-'My Grant'!B7)</f>
        <v>10</v>
      </c>
      <c r="E15" s="15" t="n">
        <f aca="false">MAX(0,D15*'My Grant'!B15)</f>
        <v>5000</v>
      </c>
      <c r="F15" s="16" t="n">
        <f aca="false">MAX(0,D15*'My Grant'!B6)</f>
        <v>10000</v>
      </c>
      <c r="G15" s="29" t="n">
        <f aca="false">IF('My Grant'!B7=0,"-",C15/'My Grant'!B7)</f>
        <v>2</v>
      </c>
    </row>
    <row r="16" customFormat="false" ht="15" hidden="false" customHeight="false" outlineLevel="0" collapsed="false">
      <c r="A16" s="4" t="s">
        <v>51</v>
      </c>
      <c r="B16" s="30" t="n">
        <v>50000000</v>
      </c>
      <c r="C16" s="22" t="n">
        <f aca="false">B16/'My Grant'!B8</f>
        <v>5</v>
      </c>
      <c r="D16" s="22" t="n">
        <f aca="false">MAX(0,C16-'My Grant'!B7)</f>
        <v>0</v>
      </c>
      <c r="E16" s="23" t="n">
        <f aca="false">MAX(0,D16*'My Grant'!B15)</f>
        <v>0</v>
      </c>
      <c r="F16" s="24" t="n">
        <f aca="false">MAX(0,D16*'My Grant'!B6)</f>
        <v>0</v>
      </c>
      <c r="G16" s="25" t="n">
        <f aca="false">IF('My Grant'!B7=0,"-",C16/'My Grant'!B7)</f>
        <v>0.5</v>
      </c>
    </row>
    <row r="17" customFormat="false" ht="15" hidden="false" customHeight="false" outlineLevel="0" collapsed="false">
      <c r="A17" s="26" t="s">
        <v>52</v>
      </c>
      <c r="B17" s="30" t="n">
        <v>150000000</v>
      </c>
      <c r="C17" s="28" t="n">
        <f aca="false">B17/'My Grant'!B8</f>
        <v>15</v>
      </c>
      <c r="D17" s="28" t="n">
        <f aca="false">MAX(0,C17-'My Grant'!B7)</f>
        <v>5</v>
      </c>
      <c r="E17" s="15" t="n">
        <f aca="false">MAX(0,D17*'My Grant'!B15)</f>
        <v>2500</v>
      </c>
      <c r="F17" s="16" t="n">
        <f aca="false">MAX(0,D17*'My Grant'!B6)</f>
        <v>5000</v>
      </c>
      <c r="G17" s="29" t="n">
        <f aca="false">IF('My Grant'!B7=0,"-",C17/'My Grant'!B7)</f>
        <v>1.5</v>
      </c>
    </row>
    <row r="18" customFormat="false" ht="15" hidden="false" customHeight="false" outlineLevel="0" collapsed="false">
      <c r="A18" s="4" t="s">
        <v>53</v>
      </c>
      <c r="B18" s="30" t="n">
        <v>500000000</v>
      </c>
      <c r="C18" s="22" t="n">
        <f aca="false">B18/'My Grant'!B8</f>
        <v>50</v>
      </c>
      <c r="D18" s="22" t="n">
        <f aca="false">MAX(0,C18-'My Grant'!B7)</f>
        <v>40</v>
      </c>
      <c r="E18" s="23" t="n">
        <f aca="false">MAX(0,D18*'My Grant'!B15)</f>
        <v>20000</v>
      </c>
      <c r="F18" s="24" t="n">
        <f aca="false">MAX(0,D18*'My Grant'!B6)</f>
        <v>40000</v>
      </c>
      <c r="G18" s="25" t="n">
        <f aca="false">IF('My Grant'!B7=0,"-",C18/'My Grant'!B7)</f>
        <v>5</v>
      </c>
    </row>
    <row r="19" customFormat="false" ht="15" hidden="false" customHeight="false" outlineLevel="0" collapsed="false">
      <c r="A19" s="26" t="s">
        <v>54</v>
      </c>
      <c r="B19" s="30" t="n">
        <v>1000000000</v>
      </c>
      <c r="C19" s="28" t="n">
        <f aca="false">B19/'My Grant'!B8</f>
        <v>100</v>
      </c>
      <c r="D19" s="28" t="n">
        <f aca="false">MAX(0,C19-'My Grant'!B7)</f>
        <v>90</v>
      </c>
      <c r="E19" s="15" t="n">
        <f aca="false">MAX(0,D19*'My Grant'!B15)</f>
        <v>45000</v>
      </c>
      <c r="F19" s="16" t="n">
        <f aca="false">MAX(0,D19*'My Grant'!B6)</f>
        <v>90000</v>
      </c>
      <c r="G19" s="29" t="n">
        <f aca="false">IF('My Grant'!B7=0,"-",C19/'My Grant'!B7)</f>
        <v>10</v>
      </c>
    </row>
    <row r="20" customFormat="false" ht="15" hidden="false" customHeight="false" outlineLevel="0" collapsed="false">
      <c r="A20" s="31" t="s">
        <v>55</v>
      </c>
      <c r="B20" s="30" t="n">
        <v>250000000</v>
      </c>
      <c r="C20" s="22" t="n">
        <f aca="false">B20/'My Grant'!B8</f>
        <v>25</v>
      </c>
      <c r="D20" s="22" t="n">
        <f aca="false">MAX(0,C20-'My Grant'!B7)</f>
        <v>15</v>
      </c>
      <c r="E20" s="23" t="n">
        <f aca="false">MAX(0,D20*'My Grant'!B15)</f>
        <v>7500</v>
      </c>
      <c r="F20" s="24" t="n">
        <f aca="false">MAX(0,D20*'My Grant'!B6)</f>
        <v>15000</v>
      </c>
      <c r="G20" s="25" t="n">
        <f aca="false">IF('My Grant'!B7=0,"-",C20/'My Grant'!B7)</f>
        <v>2.5</v>
      </c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3" t="s">
        <v>56</v>
      </c>
      <c r="B22" s="3"/>
      <c r="C22" s="3"/>
      <c r="D22" s="3"/>
      <c r="E22" s="3"/>
    </row>
    <row r="23" customFormat="false" ht="30" hidden="false" customHeight="true" outlineLevel="0" collapsed="false">
      <c r="A23" s="19" t="s">
        <v>57</v>
      </c>
      <c r="B23" s="20" t="s">
        <v>58</v>
      </c>
      <c r="C23" s="19" t="s">
        <v>22</v>
      </c>
      <c r="D23" s="20" t="s">
        <v>59</v>
      </c>
      <c r="E23" s="20" t="s">
        <v>60</v>
      </c>
    </row>
    <row r="24" customFormat="false" ht="15" hidden="false" customHeight="false" outlineLevel="0" collapsed="false">
      <c r="A24" s="32" t="s">
        <v>61</v>
      </c>
      <c r="B24" s="33" t="s">
        <v>62</v>
      </c>
      <c r="C24" s="34" t="n">
        <f aca="false">IF('My Grant'!B6=0,0,B24/('My Grant'!B6))</f>
        <v>0</v>
      </c>
      <c r="D24" s="24" t="n">
        <f aca="false">MAX(0,(50000000/'My Grant'!B8-'My Grant'!B7)*B24)</f>
        <v>-0</v>
      </c>
      <c r="E24" s="24" t="n">
        <f aca="false">MAX(0,(500000000/'My Grant'!B8-'My Grant'!B7)*B24)</f>
        <v>0</v>
      </c>
    </row>
    <row r="25" customFormat="false" ht="15" hidden="false" customHeight="false" outlineLevel="0" collapsed="false">
      <c r="A25" s="35" t="s">
        <v>63</v>
      </c>
      <c r="B25" s="13" t="n">
        <f aca="false">IF(1&lt;'My Grant'!B10,0,IF(1&gt;='My Grant'!B9,'My Grant'!B6,FLOOR((1/'My Grant'!B9)*'My Grant'!B6,1)))</f>
        <v>250</v>
      </c>
      <c r="C25" s="14" t="n">
        <f aca="false">IF('My Grant'!B6=0,0,B25/('My Grant'!B6))</f>
        <v>0.25</v>
      </c>
      <c r="D25" s="16" t="n">
        <f aca="false">MAX(0,(50000000/'My Grant'!B8-'My Grant'!B7)*B25)</f>
        <v>0</v>
      </c>
      <c r="E25" s="16" t="n">
        <f aca="false">MAX(0,(500000000/'My Grant'!B8-'My Grant'!B7)*B25)</f>
        <v>10000</v>
      </c>
    </row>
    <row r="26" customFormat="false" ht="15" hidden="false" customHeight="false" outlineLevel="0" collapsed="false">
      <c r="A26" s="32" t="s">
        <v>64</v>
      </c>
      <c r="B26" s="33" t="n">
        <f aca="false">IF(2&lt;'My Grant'!B10,0,IF(2&gt;='My Grant'!B9,'My Grant'!B6,FLOOR((2/'My Grant'!B9)*'My Grant'!B6,1)))</f>
        <v>500</v>
      </c>
      <c r="C26" s="34" t="n">
        <f aca="false">IF('My Grant'!B6=0,0,B26/('My Grant'!B6))</f>
        <v>0.5</v>
      </c>
      <c r="D26" s="24" t="n">
        <f aca="false">MAX(0,(50000000/'My Grant'!B8-'My Grant'!B7)*B26)</f>
        <v>0</v>
      </c>
      <c r="E26" s="24" t="n">
        <f aca="false">MAX(0,(500000000/'My Grant'!B8-'My Grant'!B7)*B26)</f>
        <v>20000</v>
      </c>
    </row>
    <row r="27" customFormat="false" ht="15" hidden="false" customHeight="false" outlineLevel="0" collapsed="false">
      <c r="A27" s="35" t="s">
        <v>65</v>
      </c>
      <c r="B27" s="13" t="n">
        <f aca="false">IF(3&lt;'My Grant'!B10,0,IF(3&gt;='My Grant'!B9,'My Grant'!B6,FLOOR((3/'My Grant'!B9)*'My Grant'!B6,1)))</f>
        <v>750</v>
      </c>
      <c r="C27" s="14" t="n">
        <f aca="false">IF('My Grant'!B6=0,0,B27/('My Grant'!B6))</f>
        <v>0.75</v>
      </c>
      <c r="D27" s="16" t="n">
        <f aca="false">MAX(0,(50000000/'My Grant'!B8-'My Grant'!B7)*B27)</f>
        <v>0</v>
      </c>
      <c r="E27" s="16" t="n">
        <f aca="false">MAX(0,(500000000/'My Grant'!B8-'My Grant'!B7)*B27)</f>
        <v>30000</v>
      </c>
    </row>
    <row r="28" customFormat="false" ht="15" hidden="false" customHeight="false" outlineLevel="0" collapsed="false">
      <c r="A28" s="32" t="s">
        <v>66</v>
      </c>
      <c r="B28" s="33" t="n">
        <f aca="false">IF(4&lt;'My Grant'!B10,0,IF(4&gt;='My Grant'!B9,'My Grant'!B6,FLOOR((4/'My Grant'!B9)*'My Grant'!B6,1)))</f>
        <v>1000</v>
      </c>
      <c r="C28" s="34" t="n">
        <f aca="false">IF('My Grant'!B6=0,0,B28/('My Grant'!B6))</f>
        <v>1</v>
      </c>
      <c r="D28" s="24" t="n">
        <f aca="false">MAX(0,(50000000/'My Grant'!B8-'My Grant'!B7)*B28)</f>
        <v>0</v>
      </c>
      <c r="E28" s="24" t="n">
        <f aca="false">MAX(0,(500000000/'My Grant'!B8-'My Grant'!B7)*B28)</f>
        <v>40000</v>
      </c>
    </row>
    <row r="29" customFormat="false" ht="15" hidden="false" customHeight="false" outlineLevel="0" collapsed="false">
      <c r="A29" s="35" t="s">
        <v>67</v>
      </c>
      <c r="B29" s="13" t="n">
        <f aca="false">IF(5&lt;'My Grant'!B10,0,IF(5&gt;='My Grant'!B9,'My Grant'!B6,FLOOR((5/'My Grant'!B9)*'My Grant'!B6,1)))</f>
        <v>1000</v>
      </c>
      <c r="C29" s="14" t="n">
        <f aca="false">IF('My Grant'!B6=0,0,B29/('My Grant'!B6))</f>
        <v>1</v>
      </c>
      <c r="D29" s="16" t="n">
        <f aca="false">MAX(0,(50000000/'My Grant'!B8-'My Grant'!B7)*B29)</f>
        <v>0</v>
      </c>
      <c r="E29" s="16" t="n">
        <f aca="false">MAX(0,(500000000/'My Grant'!B8-'My Grant'!B7)*B29)</f>
        <v>40000</v>
      </c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</row>
    <row r="31" customFormat="false" ht="27.75" hidden="false" customHeight="true" outlineLevel="0" collapsed="false">
      <c r="A31" s="17" t="s">
        <v>68</v>
      </c>
      <c r="B31" s="17"/>
      <c r="C31" s="17"/>
      <c r="D31" s="17"/>
      <c r="E31" s="17"/>
      <c r="F31" s="17"/>
      <c r="G31" s="17"/>
    </row>
  </sheetData>
  <mergeCells count="6">
    <mergeCell ref="A2:G2"/>
    <mergeCell ref="A3:G3"/>
    <mergeCell ref="A5:D5"/>
    <mergeCell ref="A12:G12"/>
    <mergeCell ref="A22:E22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2026-03-17T21:36:16Z</dcterms:created>
  <dc:creator>openpyxl</dc:creator>
  <dc:description/>
  <dc:language>en-US</dc:language>
  <cp:lastModifiedBy/>
  <dcterms:modified xsi:type="dcterms:W3CDTF">2026-03-17T21:36:16Z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